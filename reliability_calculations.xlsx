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A_Metrics" sheetId="1" state="visible" r:id="rId1"/>
    <sheet name="PartB_RBD" sheetId="2" state="visible" r:id="rId2"/>
    <sheet name="PartC_FMEA" sheetId="3" state="visible" r:id="rId3"/>
    <sheet name="PartD_F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0" customWidth="1" min="4" max="4"/>
    <col width="14" customWidth="1" min="5" max="5"/>
  </cols>
  <sheetData>
    <row r="1">
      <c r="A1" s="1" t="inlineStr">
        <is>
          <t>Assignment 1 - Reliability metrics (Zhumabayev Magzhan, 255408)</t>
        </is>
      </c>
    </row>
    <row r="3">
      <c r="A3" s="2" t="inlineStr">
        <is>
          <t>Event</t>
        </is>
      </c>
      <c r="B3" s="2" t="inlineStr">
        <is>
          <t>Component</t>
        </is>
      </c>
      <c r="C3" s="2" t="inlineStr">
        <is>
          <t>Failure time (h)</t>
        </is>
      </c>
      <c r="D3" s="2" t="inlineStr">
        <is>
          <t>Repair completed (h)</t>
        </is>
      </c>
      <c r="E3" s="2" t="inlineStr">
        <is>
          <t>Duration (h)</t>
        </is>
      </c>
    </row>
    <row r="4">
      <c r="A4" s="3" t="n">
        <v>1</v>
      </c>
      <c r="B4" s="3" t="inlineStr">
        <is>
          <t>Application Server A</t>
        </is>
      </c>
      <c r="C4" s="3" t="n">
        <v>38</v>
      </c>
      <c r="D4" s="3" t="n">
        <v>40</v>
      </c>
      <c r="E4" s="3" t="n">
        <v>2</v>
      </c>
    </row>
    <row r="5">
      <c r="A5" s="3" t="n">
        <v>2</v>
      </c>
      <c r="B5" s="3" t="inlineStr">
        <is>
          <t>Primary Database</t>
        </is>
      </c>
      <c r="C5" s="3" t="n">
        <v>91</v>
      </c>
      <c r="D5" s="3" t="n">
        <v>95</v>
      </c>
      <c r="E5" s="3" t="n">
        <v>4</v>
      </c>
    </row>
    <row r="6">
      <c r="A6" s="3" t="n">
        <v>3</v>
      </c>
      <c r="B6" s="3" t="inlineStr">
        <is>
          <t>Campus Network</t>
        </is>
      </c>
      <c r="C6" s="3" t="n">
        <v>143</v>
      </c>
      <c r="D6" s="3" t="n">
        <v>144</v>
      </c>
      <c r="E6" s="3" t="n">
        <v>1</v>
      </c>
    </row>
    <row r="7">
      <c r="A7" s="3" t="n">
        <v>4</v>
      </c>
      <c r="B7" s="3" t="inlineStr">
        <is>
          <t>Application Server B</t>
        </is>
      </c>
      <c r="C7" s="3" t="n">
        <v>201</v>
      </c>
      <c r="D7" s="3" t="n">
        <v>203</v>
      </c>
      <c r="E7" s="3" t="n">
        <v>2</v>
      </c>
    </row>
    <row r="8">
      <c r="A8" s="3" t="n">
        <v>5</v>
      </c>
      <c r="B8" s="3" t="inlineStr">
        <is>
          <t>Primary Database</t>
        </is>
      </c>
      <c r="C8" s="3" t="n">
        <v>287</v>
      </c>
      <c r="D8" s="3" t="n">
        <v>291</v>
      </c>
      <c r="E8" s="3" t="n">
        <v>4</v>
      </c>
    </row>
    <row r="9">
      <c r="A9" s="3" t="n">
        <v>6</v>
      </c>
      <c r="B9" s="3" t="inlineStr">
        <is>
          <t>Load Balancer</t>
        </is>
      </c>
      <c r="C9" s="3" t="n">
        <v>356</v>
      </c>
      <c r="D9" s="3" t="n">
        <v>357</v>
      </c>
      <c r="E9" s="3" t="n">
        <v>1</v>
      </c>
    </row>
    <row r="10">
      <c r="A10" s="3" t="n">
        <v>7</v>
      </c>
      <c r="B10" s="3" t="inlineStr">
        <is>
          <t>Application Server A</t>
        </is>
      </c>
      <c r="C10" s="3" t="n">
        <v>411</v>
      </c>
      <c r="D10" s="3" t="n">
        <v>413</v>
      </c>
      <c r="E10" s="3" t="n">
        <v>2</v>
      </c>
    </row>
    <row r="11">
      <c r="A11" s="3" t="n">
        <v>8</v>
      </c>
      <c r="B11" s="3" t="inlineStr">
        <is>
          <t>Campus Network</t>
        </is>
      </c>
      <c r="C11" s="3" t="n">
        <v>478</v>
      </c>
      <c r="D11" s="3" t="n">
        <v>480</v>
      </c>
      <c r="E11" s="3" t="n">
        <v>2</v>
      </c>
    </row>
    <row r="12">
      <c r="A12" s="3" t="n">
        <v>9</v>
      </c>
      <c r="B12" s="3" t="inlineStr">
        <is>
          <t>Primary Database</t>
        </is>
      </c>
      <c r="C12" s="3" t="n">
        <v>529</v>
      </c>
      <c r="D12" s="3" t="n">
        <v>534</v>
      </c>
      <c r="E12" s="3" t="n">
        <v>5</v>
      </c>
    </row>
    <row r="13">
      <c r="A13" s="3" t="n">
        <v>10</v>
      </c>
      <c r="B13" s="3" t="inlineStr">
        <is>
          <t>Application Server B</t>
        </is>
      </c>
      <c r="C13" s="3" t="n">
        <v>601</v>
      </c>
      <c r="D13" s="3" t="n">
        <v>603</v>
      </c>
      <c r="E13" s="3" t="n">
        <v>2</v>
      </c>
    </row>
    <row r="14">
      <c r="A14" s="3" t="n">
        <v>11</v>
      </c>
      <c r="B14" s="3" t="inlineStr">
        <is>
          <t>Application Server A</t>
        </is>
      </c>
      <c r="C14" s="3" t="n">
        <v>654</v>
      </c>
      <c r="D14" s="3" t="n">
        <v>655</v>
      </c>
      <c r="E14" s="3" t="n">
        <v>1</v>
      </c>
    </row>
    <row r="15">
      <c r="A15" s="3" t="n">
        <v>12</v>
      </c>
      <c r="B15" s="3" t="inlineStr">
        <is>
          <t>Load Balancer</t>
        </is>
      </c>
      <c r="C15" s="3" t="n">
        <v>689</v>
      </c>
      <c r="D15" s="3" t="n">
        <v>690</v>
      </c>
      <c r="E15" s="3" t="n">
        <v>1</v>
      </c>
    </row>
    <row r="17">
      <c r="A17" s="4" t="inlineStr">
        <is>
          <t>Operating period (h)</t>
        </is>
      </c>
      <c r="B17" s="5" t="n">
        <v>720</v>
      </c>
    </row>
    <row r="18">
      <c r="A18" s="4" t="inlineStr">
        <is>
          <t>Number of failures</t>
        </is>
      </c>
      <c r="B18" s="5">
        <f>COUNT(A4:A15)</f>
        <v/>
      </c>
    </row>
    <row r="19">
      <c r="A19" s="4" t="inlineStr">
        <is>
          <t>Total downtime (h)</t>
        </is>
      </c>
      <c r="B19" s="5">
        <f>SUM(E4:E15)</f>
        <v/>
      </c>
    </row>
    <row r="20">
      <c r="A20" s="4" t="inlineStr">
        <is>
          <t>Total uptime (h)</t>
        </is>
      </c>
      <c r="B20" s="5">
        <f>B17-B19</f>
        <v/>
      </c>
    </row>
    <row r="21">
      <c r="A21" s="4" t="inlineStr">
        <is>
          <t>Availability</t>
        </is>
      </c>
      <c r="B21" s="6">
        <f>B20/B17</f>
        <v/>
      </c>
    </row>
    <row r="22">
      <c r="A22" s="4" t="inlineStr">
        <is>
          <t>MTTF (h)</t>
        </is>
      </c>
      <c r="B22" s="5">
        <f>B20/B18</f>
        <v/>
      </c>
    </row>
    <row r="23">
      <c r="A23" s="4" t="inlineStr">
        <is>
          <t>MTTR (h)</t>
        </is>
      </c>
      <c r="B23" s="5">
        <f>B19/B18</f>
        <v/>
      </c>
    </row>
    <row r="24">
      <c r="A24" s="4" t="inlineStr">
        <is>
          <t>MTBF (h)</t>
        </is>
      </c>
      <c r="B24" s="5">
        <f>B17/B18</f>
        <v/>
      </c>
    </row>
    <row r="25">
      <c r="A25" s="4" t="inlineStr">
        <is>
          <t>Check: MTTF+MTTR</t>
        </is>
      </c>
      <c r="B25" s="5">
        <f>B22+B23</f>
        <v/>
      </c>
    </row>
    <row r="27">
      <c r="A27" s="2" t="inlineStr">
        <is>
          <t>Component</t>
        </is>
      </c>
      <c r="B27" s="2" t="inlineStr">
        <is>
          <t>Failures</t>
        </is>
      </c>
      <c r="C27" s="2" t="inlineStr">
        <is>
          <t>Downtime (h)</t>
        </is>
      </c>
      <c r="D27" s="2" t="inlineStr">
        <is>
          <t>Share of downtime</t>
        </is>
      </c>
      <c r="E27" s="2" t="inlineStr">
        <is>
          <t>Component MTTR (h)</t>
        </is>
      </c>
    </row>
    <row r="28">
      <c r="A28" s="3" t="inlineStr">
        <is>
          <t>Primary Database</t>
        </is>
      </c>
      <c r="B28" s="3" t="n">
        <v>3</v>
      </c>
      <c r="C28" s="3" t="n">
        <v>13</v>
      </c>
      <c r="D28" s="3" t="n">
        <v>0.4815</v>
      </c>
      <c r="E28" s="3" t="n">
        <v>4.33</v>
      </c>
    </row>
    <row r="29">
      <c r="A29" s="3" t="inlineStr">
        <is>
          <t>Application Server A</t>
        </is>
      </c>
      <c r="B29" s="3" t="n">
        <v>3</v>
      </c>
      <c r="C29" s="3" t="n">
        <v>5</v>
      </c>
      <c r="D29" s="3" t="n">
        <v>0.1852</v>
      </c>
      <c r="E29" s="3" t="n">
        <v>1.67</v>
      </c>
    </row>
    <row r="30">
      <c r="A30" s="3" t="inlineStr">
        <is>
          <t>Application Server B</t>
        </is>
      </c>
      <c r="B30" s="3" t="n">
        <v>2</v>
      </c>
      <c r="C30" s="3" t="n">
        <v>4</v>
      </c>
      <c r="D30" s="3" t="n">
        <v>0.1481</v>
      </c>
      <c r="E30" s="3" t="n">
        <v>2</v>
      </c>
    </row>
    <row r="31">
      <c r="A31" s="3" t="inlineStr">
        <is>
          <t>Campus Network</t>
        </is>
      </c>
      <c r="B31" s="3" t="n">
        <v>2</v>
      </c>
      <c r="C31" s="3" t="n">
        <v>3</v>
      </c>
      <c r="D31" s="3" t="n">
        <v>0.1111</v>
      </c>
      <c r="E31" s="3" t="n">
        <v>1.5</v>
      </c>
    </row>
    <row r="32">
      <c r="A32" s="3" t="inlineStr">
        <is>
          <t>Load Balancer</t>
        </is>
      </c>
      <c r="B32" s="3" t="n">
        <v>2</v>
      </c>
      <c r="C32" s="3" t="n">
        <v>2</v>
      </c>
      <c r="D32" s="3" t="n">
        <v>0.0741</v>
      </c>
      <c r="E3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4" customWidth="1" min="4" max="4"/>
  </cols>
  <sheetData>
    <row r="1">
      <c r="A1" s="2" t="inlineStr">
        <is>
          <t>Component</t>
        </is>
      </c>
      <c r="B1" s="2" t="inlineStr">
        <is>
          <t>Reliability</t>
        </is>
      </c>
    </row>
    <row r="2">
      <c r="A2" s="3" t="inlineStr">
        <is>
          <t>Load Balancer</t>
        </is>
      </c>
      <c r="B2" s="3" t="n">
        <v>0.995</v>
      </c>
    </row>
    <row r="3">
      <c r="A3" s="3" t="inlineStr">
        <is>
          <t>Application Server A</t>
        </is>
      </c>
      <c r="B3" s="3" t="n">
        <v>0.97</v>
      </c>
    </row>
    <row r="4">
      <c r="A4" s="3" t="inlineStr">
        <is>
          <t>Application Server B</t>
        </is>
      </c>
      <c r="B4" s="3" t="n">
        <v>0.97</v>
      </c>
    </row>
    <row r="5">
      <c r="A5" s="3" t="inlineStr">
        <is>
          <t>Primary Database</t>
        </is>
      </c>
      <c r="B5" s="3" t="n">
        <v>0.98</v>
      </c>
    </row>
    <row r="6">
      <c r="A6" s="3" t="inlineStr">
        <is>
          <t>Standby Database</t>
        </is>
      </c>
      <c r="B6" s="3" t="n">
        <v>0.99</v>
      </c>
    </row>
    <row r="7">
      <c r="A7" s="3" t="inlineStr">
        <is>
          <t>Campus Network</t>
        </is>
      </c>
      <c r="B7" s="3" t="n">
        <v>0.995</v>
      </c>
    </row>
    <row r="10">
      <c r="A10" s="2" t="inlineStr">
        <is>
          <t>Subsystem</t>
        </is>
      </c>
      <c r="B10" s="2" t="inlineStr">
        <is>
          <t>Configuration</t>
        </is>
      </c>
      <c r="C10" s="2" t="inlineStr">
        <is>
          <t>Formula</t>
        </is>
      </c>
      <c r="D10" s="2" t="inlineStr">
        <is>
          <t>Reliability</t>
        </is>
      </c>
    </row>
    <row r="11">
      <c r="A11" s="3" t="inlineStr">
        <is>
          <t>Application</t>
        </is>
      </c>
      <c r="B11" s="3" t="inlineStr">
        <is>
          <t>A OR B (parallel)</t>
        </is>
      </c>
      <c r="C11" s="3" t="inlineStr">
        <is>
          <t>1-(1-RA)(1-RB)</t>
        </is>
      </c>
      <c r="D11" s="7">
        <f>1-(1-B3)*(1-B4)</f>
        <v/>
      </c>
    </row>
    <row r="12">
      <c r="A12" s="3" t="inlineStr">
        <is>
          <t>Database</t>
        </is>
      </c>
      <c r="B12" s="3" t="inlineStr">
        <is>
          <t>Primary OR Standby (parallel)</t>
        </is>
      </c>
      <c r="C12" s="3" t="inlineStr">
        <is>
          <t>1-(1-RP)(1-RS)</t>
        </is>
      </c>
      <c r="D12" s="7">
        <f>1-(1-B5)*(1-B6)</f>
        <v/>
      </c>
    </row>
    <row r="13">
      <c r="A13" s="3" t="inlineStr">
        <is>
          <t>Load Balancer</t>
        </is>
      </c>
      <c r="B13" s="3" t="inlineStr">
        <is>
          <t>Single (series)</t>
        </is>
      </c>
      <c r="C13" s="3" t="inlineStr">
        <is>
          <t>R_LB</t>
        </is>
      </c>
      <c r="D13" s="7">
        <f>B2</f>
        <v/>
      </c>
    </row>
    <row r="14">
      <c r="A14" s="3" t="inlineStr">
        <is>
          <t>Campus Network</t>
        </is>
      </c>
      <c r="B14" s="3" t="inlineStr">
        <is>
          <t>Single (series)</t>
        </is>
      </c>
      <c r="C14" s="3" t="inlineStr">
        <is>
          <t>R_NET</t>
        </is>
      </c>
      <c r="D14" s="7">
        <f>B7</f>
        <v/>
      </c>
    </row>
    <row r="15">
      <c r="A15" s="3" t="inlineStr">
        <is>
          <t>Overall</t>
        </is>
      </c>
      <c r="B15" s="3" t="inlineStr">
        <is>
          <t>Series of subsystems</t>
        </is>
      </c>
      <c r="C15" s="3" t="inlineStr">
        <is>
          <t>R_LB x R_APP x R_DB x R_NET</t>
        </is>
      </c>
      <c r="D15" s="7">
        <f>D13*D11*D12*D14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  <col width="34" customWidth="1" min="4" max="4"/>
    <col width="4" customWidth="1" min="5" max="5"/>
    <col width="4" customWidth="1" min="6" max="6"/>
    <col width="4" customWidth="1" min="7" max="7"/>
    <col width="6" customWidth="1" min="8" max="8"/>
    <col width="44" customWidth="1" min="9" max="9"/>
  </cols>
  <sheetData>
    <row r="1">
      <c r="A1" s="2" t="inlineStr">
        <is>
          <t>Component</t>
        </is>
      </c>
      <c r="B1" s="2" t="inlineStr">
        <is>
          <t>Failure mode</t>
        </is>
      </c>
      <c r="C1" s="2" t="inlineStr">
        <is>
          <t>Effect on AITU service</t>
        </is>
      </c>
      <c r="D1" s="2" t="inlineStr">
        <is>
          <t>Cause</t>
        </is>
      </c>
      <c r="E1" s="2" t="inlineStr">
        <is>
          <t>S</t>
        </is>
      </c>
      <c r="F1" s="2" t="inlineStr">
        <is>
          <t>O</t>
        </is>
      </c>
      <c r="G1" s="2" t="inlineStr">
        <is>
          <t>D</t>
        </is>
      </c>
      <c r="H1" s="2" t="inlineStr">
        <is>
          <t>RPN</t>
        </is>
      </c>
      <c r="I1" s="2" t="inlineStr">
        <is>
          <t>Mitigation</t>
        </is>
      </c>
    </row>
    <row r="2">
      <c r="A2" s="3" t="inlineStr">
        <is>
          <t>Load Balancer</t>
        </is>
      </c>
      <c r="B2" s="3" t="inlineStr">
        <is>
          <t>Node crash / hardware or process failure</t>
        </is>
      </c>
      <c r="C2" s="3" t="inlineStr">
        <is>
          <t>Complete portal outage; no requests reach A/B (single point of failure)</t>
        </is>
      </c>
      <c r="D2" s="3" t="inlineStr">
        <is>
          <t>Hardware fault, OS/firmware bug, config error during change</t>
        </is>
      </c>
      <c r="E2" s="3" t="n">
        <v>10</v>
      </c>
      <c r="F2" s="3" t="n">
        <v>3</v>
      </c>
      <c r="G2" s="3" t="n">
        <v>3</v>
      </c>
      <c r="H2" s="3">
        <f>E2*F2*G2</f>
        <v/>
      </c>
      <c r="I2" s="3" t="inlineStr">
        <is>
          <t>Deploy active-passive LB pair with VRRP/keepalived; health-check alert</t>
        </is>
      </c>
    </row>
    <row r="3">
      <c r="A3" s="3" t="inlineStr">
        <is>
          <t>Load Balancer</t>
        </is>
      </c>
      <c r="B3" s="3" t="inlineStr">
        <is>
          <t>Misrouting / faulty health check marks healthy servers down</t>
        </is>
      </c>
      <c r="C3" s="3" t="inlineStr">
        <is>
          <t>Traffic sent to failed node or all traffic to one server; latency and errors</t>
        </is>
      </c>
      <c r="D3" s="3" t="inlineStr">
        <is>
          <t>Wrong health-check path, stale configuration</t>
        </is>
      </c>
      <c r="E3" s="3" t="n">
        <v>6</v>
      </c>
      <c r="F3" s="3" t="n">
        <v>3</v>
      </c>
      <c r="G3" s="3" t="n">
        <v>6</v>
      </c>
      <c r="H3" s="3">
        <f>E3*F3*G3</f>
        <v/>
      </c>
      <c r="I3" s="3" t="inlineStr">
        <is>
          <t>Config validation in CI, synthetic end-to-end probes, canary config rollout</t>
        </is>
      </c>
    </row>
    <row r="4">
      <c r="A4" s="3" t="inlineStr">
        <is>
          <t>Application Server A</t>
        </is>
      </c>
      <c r="B4" s="3" t="inlineStr">
        <is>
          <t>Crash / OOM / process hang</t>
        </is>
      </c>
      <c r="C4" s="3" t="inlineStr">
        <is>
          <t>Capacity halved; B takes full load; risk of overload at peak registration</t>
        </is>
      </c>
      <c r="D4" s="3" t="inlineStr">
        <is>
          <t>Memory leak, unhandled exception, JVM/GC pressure</t>
        </is>
      </c>
      <c r="E4" s="3" t="n">
        <v>5</v>
      </c>
      <c r="F4" s="3" t="n">
        <v>6</v>
      </c>
      <c r="G4" s="3" t="n">
        <v>3</v>
      </c>
      <c r="H4" s="3">
        <f>E4*F4*G4</f>
        <v/>
      </c>
      <c r="I4" s="3" t="inlineStr">
        <is>
          <t>Auto-restart (systemd/k8s liveness), memory limits, add 3rd node (N+2)</t>
        </is>
      </c>
    </row>
    <row r="5">
      <c r="A5" s="3" t="inlineStr">
        <is>
          <t>Application Server A</t>
        </is>
      </c>
      <c r="B5" s="3" t="inlineStr">
        <is>
          <t>Degraded performance (slow responses, not down)</t>
        </is>
      </c>
      <c r="C5" s="3" t="inlineStr">
        <is>
          <t>Timeouts for students; LB may not detect because node still answers</t>
        </is>
      </c>
      <c r="D5" s="3" t="inlineStr">
        <is>
          <t>Thread-pool exhaustion, slow DB queries, disk full</t>
        </is>
      </c>
      <c r="E5" s="3" t="n">
        <v>6</v>
      </c>
      <c r="F5" s="3" t="n">
        <v>5</v>
      </c>
      <c r="G5" s="3" t="n">
        <v>7</v>
      </c>
      <c r="H5" s="3">
        <f>E5*F5*G5</f>
        <v/>
      </c>
      <c r="I5" s="3" t="inlineStr">
        <is>
          <t>Latency-based health checks, APM tracing, p95 latency alerting</t>
        </is>
      </c>
    </row>
    <row r="6">
      <c r="A6" s="3" t="inlineStr">
        <is>
          <t>Application Server B</t>
        </is>
      </c>
      <c r="B6" s="3" t="inlineStr">
        <is>
          <t>Crash / OOM / process hang</t>
        </is>
      </c>
      <c r="C6" s="3" t="inlineStr">
        <is>
          <t>Capacity halved; A takes full load</t>
        </is>
      </c>
      <c r="D6" s="3" t="inlineStr">
        <is>
          <t>Memory leak, unhandled exception</t>
        </is>
      </c>
      <c r="E6" s="3" t="n">
        <v>5</v>
      </c>
      <c r="F6" s="3" t="n">
        <v>5</v>
      </c>
      <c r="G6" s="3" t="n">
        <v>3</v>
      </c>
      <c r="H6" s="3">
        <f>E6*F6*G6</f>
        <v/>
      </c>
      <c r="I6" s="3" t="inlineStr">
        <is>
          <t>Same as A: liveness probes, autoscaling, N+2 capacity</t>
        </is>
      </c>
    </row>
    <row r="7">
      <c r="A7" s="3" t="inlineStr">
        <is>
          <t>Application Server B</t>
        </is>
      </c>
      <c r="B7" s="3" t="inlineStr">
        <is>
          <t>Failed deployment / bad release</t>
        </is>
      </c>
      <c r="C7" s="3" t="inlineStr">
        <is>
          <t>Errors on B only; inconsistent behaviour between nodes</t>
        </is>
      </c>
      <c r="D7" s="3" t="inlineStr">
        <is>
          <t>Untested release, missing rollback</t>
        </is>
      </c>
      <c r="E7" s="3" t="n">
        <v>6</v>
      </c>
      <c r="F7" s="3" t="n">
        <v>4</v>
      </c>
      <c r="G7" s="3" t="n">
        <v>5</v>
      </c>
      <c r="H7" s="3">
        <f>E7*F7*G7</f>
        <v/>
      </c>
      <c r="I7" s="3" t="inlineStr">
        <is>
          <t>Blue-green / canary deploys, automated rollback, smoke tests</t>
        </is>
      </c>
    </row>
    <row r="8">
      <c r="A8" s="3" t="inlineStr">
        <is>
          <t>Primary Database</t>
        </is>
      </c>
      <c r="B8" s="3" t="inlineStr">
        <is>
          <t>Node failure / crash</t>
        </is>
      </c>
      <c r="C8" s="3" t="inlineStr">
        <is>
          <t>Writes blocked until failover; registrations lost or delayed (3 events, 13 h)</t>
        </is>
      </c>
      <c r="D8" s="3" t="inlineStr">
        <is>
          <t>Disk failure, OOM, long-running lock, storage saturation</t>
        </is>
      </c>
      <c r="E8" s="3" t="n">
        <v>9</v>
      </c>
      <c r="F8" s="3" t="n">
        <v>7</v>
      </c>
      <c r="G8" s="3" t="n">
        <v>4</v>
      </c>
      <c r="H8" s="3">
        <f>E8*F8*G8</f>
        <v/>
      </c>
      <c r="I8" s="3" t="inlineStr">
        <is>
          <t>Automatic failover (Patroni/Always On) &lt; 60 s; tested failover drills</t>
        </is>
      </c>
    </row>
    <row r="9">
      <c r="A9" s="3" t="inlineStr">
        <is>
          <t>Primary Database</t>
        </is>
      </c>
      <c r="B9" s="3" t="inlineStr">
        <is>
          <t>Data corruption / replication lag</t>
        </is>
      </c>
      <c r="C9" s="3" t="inlineStr">
        <is>
          <t>Wrong or stale data shown to students; failover to inconsistent standby</t>
        </is>
      </c>
      <c r="D9" s="3" t="inlineStr">
        <is>
          <t>Replication break, unsafe schema migration, lost WAL</t>
        </is>
      </c>
      <c r="E9" s="3" t="n">
        <v>9</v>
      </c>
      <c r="F9" s="3" t="n">
        <v>3</v>
      </c>
      <c r="G9" s="3" t="n">
        <v>8</v>
      </c>
      <c r="H9" s="3">
        <f>E9*F9*G9</f>
        <v/>
      </c>
      <c r="I9" s="3" t="inlineStr">
        <is>
          <t>Replication-lag monitoring, checksums, PITR backups, restore tests</t>
        </is>
      </c>
    </row>
    <row r="10">
      <c r="A10" s="3" t="inlineStr">
        <is>
          <t>Standby Database</t>
        </is>
      </c>
      <c r="B10" s="3" t="inlineStr">
        <is>
          <t>Standby not synchronised / fails to promote</t>
        </is>
      </c>
      <c r="C10" s="3" t="inlineStr">
        <is>
          <t>Redundancy silently lost; primary failure becomes full outage</t>
        </is>
      </c>
      <c r="D10" s="3" t="inlineStr">
        <is>
          <t>Replication stopped, insufficient resources, untested promotion</t>
        </is>
      </c>
      <c r="E10" s="3" t="n">
        <v>8</v>
      </c>
      <c r="F10" s="3" t="n">
        <v>3</v>
      </c>
      <c r="G10" s="3" t="n">
        <v>9</v>
      </c>
      <c r="H10" s="3">
        <f>E10*F10*G10</f>
        <v/>
      </c>
      <c r="I10" s="3" t="inlineStr">
        <is>
          <t>Alert on replication lag &gt; threshold; monthly failover rehearsal</t>
        </is>
      </c>
    </row>
    <row r="11">
      <c r="A11" s="3" t="inlineStr">
        <is>
          <t>Standby Database</t>
        </is>
      </c>
      <c r="B11" s="3" t="inlineStr">
        <is>
          <t>Standby node hardware failure</t>
        </is>
      </c>
      <c r="C11" s="3" t="inlineStr">
        <is>
          <t>No effect while primary healthy; hidden loss of redundancy</t>
        </is>
      </c>
      <c r="D11" s="3" t="inlineStr">
        <is>
          <t>Disk / power failure</t>
        </is>
      </c>
      <c r="E11" s="3" t="n">
        <v>4</v>
      </c>
      <c r="F11" s="3" t="n">
        <v>2</v>
      </c>
      <c r="G11" s="3" t="n">
        <v>6</v>
      </c>
      <c r="H11" s="3">
        <f>E11*F11*G11</f>
        <v/>
      </c>
      <c r="I11" s="3" t="inlineStr">
        <is>
          <t>Hardware monitoring, standby health in dashboard</t>
        </is>
      </c>
    </row>
    <row r="12">
      <c r="A12" s="3" t="inlineStr">
        <is>
          <t>Campus Network</t>
        </is>
      </c>
      <c r="B12" s="3" t="inlineStr">
        <is>
          <t>Core switch / uplink outage</t>
        </is>
      </c>
      <c r="C12" s="3" t="inlineStr">
        <is>
          <t>Complete outage for on-campus users; remote users may also lose access (SPOF)</t>
        </is>
      </c>
      <c r="D12" s="3" t="inlineStr">
        <is>
          <t>Switch failure, fibre cut, power outage, misconfiguration</t>
        </is>
      </c>
      <c r="E12" s="3" t="n">
        <v>10</v>
      </c>
      <c r="F12" s="3" t="n">
        <v>4</v>
      </c>
      <c r="G12" s="3" t="n">
        <v>2</v>
      </c>
      <c r="H12" s="3">
        <f>E12*F12*G12</f>
        <v/>
      </c>
      <c r="I12" s="3" t="inlineStr">
        <is>
          <t>Dual uplinks with separate paths, redundant core switches, UPS</t>
        </is>
      </c>
    </row>
    <row r="13">
      <c r="A13" s="3" t="inlineStr">
        <is>
          <t>Campus Network</t>
        </is>
      </c>
      <c r="B13" s="3" t="inlineStr">
        <is>
          <t>Congestion / DDoS during registration peak</t>
        </is>
      </c>
      <c r="C13" s="3" t="inlineStr">
        <is>
          <t>Slow or dropped requests exactly when demand is highest</t>
        </is>
      </c>
      <c r="D13" s="3" t="inlineStr">
        <is>
          <t>Traffic spike, DDoS, lack of QoS</t>
        </is>
      </c>
      <c r="E13" s="3" t="n">
        <v>7</v>
      </c>
      <c r="F13" s="3" t="n">
        <v>5</v>
      </c>
      <c r="G13" s="3" t="n">
        <v>5</v>
      </c>
      <c r="H13" s="3">
        <f>E13*F13*G13</f>
        <v/>
      </c>
      <c r="I13" s="3" t="inlineStr">
        <is>
          <t>Rate limiting, DDoS protection, QoS for portal traffic, CDN for static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34" customWidth="1" min="3" max="3"/>
    <col width="30" customWidth="1" min="4" max="4"/>
    <col width="14" customWidth="1" min="5" max="5"/>
  </cols>
  <sheetData>
    <row r="1">
      <c r="A1" s="2" t="inlineStr">
        <is>
          <t>Basic event</t>
        </is>
      </c>
      <c r="B1" s="2" t="inlineStr">
        <is>
          <t>q = 1 - R</t>
        </is>
      </c>
    </row>
    <row r="2">
      <c r="A2" s="3" t="inlineStr">
        <is>
          <t>Load Balancer</t>
        </is>
      </c>
      <c r="B2" s="3" t="n">
        <v>0.005</v>
      </c>
    </row>
    <row r="3">
      <c r="A3" s="3" t="inlineStr">
        <is>
          <t>Application Server A</t>
        </is>
      </c>
      <c r="B3" s="3" t="n">
        <v>0.03</v>
      </c>
    </row>
    <row r="4">
      <c r="A4" s="3" t="inlineStr">
        <is>
          <t>Application Server B</t>
        </is>
      </c>
      <c r="B4" s="3" t="n">
        <v>0.03</v>
      </c>
    </row>
    <row r="5">
      <c r="A5" s="3" t="inlineStr">
        <is>
          <t>Primary Database</t>
        </is>
      </c>
      <c r="B5" s="3" t="n">
        <v>0.02</v>
      </c>
    </row>
    <row r="6">
      <c r="A6" s="3" t="inlineStr">
        <is>
          <t>Standby Database</t>
        </is>
      </c>
      <c r="B6" s="3" t="n">
        <v>0.01</v>
      </c>
    </row>
    <row r="7">
      <c r="A7" s="3" t="inlineStr">
        <is>
          <t>Campus Network</t>
        </is>
      </c>
      <c r="B7" s="3" t="n">
        <v>0.005</v>
      </c>
    </row>
    <row r="10">
      <c r="A10" s="2" t="inlineStr">
        <is>
          <t>Intermediate / top event</t>
        </is>
      </c>
      <c r="B10" s="2" t="inlineStr">
        <is>
          <t>Gate</t>
        </is>
      </c>
      <c r="C10" s="2" t="inlineStr">
        <is>
          <t>Basic events</t>
        </is>
      </c>
      <c r="D10" s="2" t="inlineStr">
        <is>
          <t>Formula</t>
        </is>
      </c>
      <c r="E10" s="2" t="inlineStr">
        <is>
          <t>Probability</t>
        </is>
      </c>
    </row>
    <row r="11">
      <c r="A11" s="3" t="inlineStr">
        <is>
          <t>Application subsystem unavailable</t>
        </is>
      </c>
      <c r="B11" s="3" t="inlineStr">
        <is>
          <t>AND</t>
        </is>
      </c>
      <c r="C11" s="3" t="inlineStr">
        <is>
          <t>App A fails, App B fails</t>
        </is>
      </c>
      <c r="D11" s="3" t="inlineStr">
        <is>
          <t>qA*qB</t>
        </is>
      </c>
      <c r="E11" s="7">
        <f>B3*B4</f>
        <v/>
      </c>
    </row>
    <row r="12">
      <c r="A12" s="3" t="inlineStr">
        <is>
          <t>Database subsystem unavailable</t>
        </is>
      </c>
      <c r="B12" s="3" t="inlineStr">
        <is>
          <t>AND</t>
        </is>
      </c>
      <c r="C12" s="3" t="inlineStr">
        <is>
          <t>Primary fails, Standby fails</t>
        </is>
      </c>
      <c r="D12" s="3" t="inlineStr">
        <is>
          <t>qP*qS</t>
        </is>
      </c>
      <c r="E12" s="7">
        <f>B5*B6</f>
        <v/>
      </c>
    </row>
    <row r="13">
      <c r="A13" s="3" t="inlineStr">
        <is>
          <t>Complete service unavailable (TOP)</t>
        </is>
      </c>
      <c r="B13" s="3" t="inlineStr">
        <is>
          <t>OR</t>
        </is>
      </c>
      <c r="C13" s="3" t="inlineStr">
        <is>
          <t>LB fails, Network fails, G1, G2</t>
        </is>
      </c>
      <c r="D13" s="3" t="inlineStr">
        <is>
          <t>1-(1-qLB)(1-qNET)(1-G1)(1-G2)</t>
        </is>
      </c>
      <c r="E13" s="7">
        <f>1-(1-B2)*(1-B7)*(1-E11)*(1-E12)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2026-09-15T18:43:36Z</dcterms:created>
  <dcterms:modified xsi:type="dcterms:W3CDTF">2026-09-15T18:43:36Z</dcterms:modified>
</cp:coreProperties>
</file>